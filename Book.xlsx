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6B22E446-F994-4C62-A215-DD9B601EA006}" xr6:coauthVersionLast="47" xr6:coauthVersionMax="47" xr10:uidLastSave="{00000000-0000-0000-0000-000000000000}"/>
  <bookViews>
    <workbookView xWindow="240" yWindow="105" windowWidth="14805" windowHeight="8010" firstSheet="5" activeTab="4" xr2:uid="{00000000-000D-0000-FFFF-FFFF00000000}"/>
  </bookViews>
  <sheets>
    <sheet name="ciudad" sheetId="7" r:id="rId1"/>
    <sheet name="club" sheetId="2" r:id="rId2"/>
    <sheet name="jugadores" sheetId="1" r:id="rId3"/>
    <sheet name="entrenadores" sheetId="3" r:id="rId4"/>
    <sheet name="Presidentes" sheetId="4" r:id="rId5"/>
    <sheet name="Hoja5" sheetId="5" r:id="rId6"/>
    <sheet name="Hoja6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6" l="1"/>
  <c r="B2" i="6"/>
  <c r="B3" i="6"/>
  <c r="B4" i="6"/>
  <c r="B5" i="6"/>
  <c r="B6" i="6"/>
  <c r="F13" i="5"/>
  <c r="F12" i="5"/>
  <c r="F11" i="5"/>
  <c r="F10" i="5"/>
  <c r="F9" i="5"/>
  <c r="F8" i="5"/>
  <c r="F7" i="5"/>
  <c r="F6" i="5"/>
  <c r="F5" i="5"/>
  <c r="F4" i="5"/>
  <c r="F3" i="5"/>
  <c r="F2" i="5"/>
  <c r="A13" i="5"/>
  <c r="A12" i="5"/>
  <c r="A11" i="5"/>
  <c r="A10" i="5"/>
  <c r="A9" i="5"/>
  <c r="A8" i="5"/>
  <c r="A7" i="5"/>
  <c r="A6" i="5"/>
  <c r="A5" i="5"/>
  <c r="A4" i="5"/>
  <c r="A3" i="5"/>
  <c r="A2" i="5"/>
  <c r="A2" i="1"/>
  <c r="A3" i="1"/>
  <c r="A4" i="1"/>
  <c r="A5" i="1"/>
  <c r="A6" i="1"/>
  <c r="A7" i="1"/>
  <c r="A8" i="1"/>
  <c r="A9" i="1"/>
  <c r="A10" i="1"/>
  <c r="A11" i="1"/>
  <c r="A12" i="1"/>
  <c r="A13" i="1"/>
</calcChain>
</file>

<file path=xl/sharedStrings.xml><?xml version="1.0" encoding="utf-8"?>
<sst xmlns="http://schemas.openxmlformats.org/spreadsheetml/2006/main" count="116" uniqueCount="62">
  <si>
    <t>ID_Ciudad</t>
  </si>
  <si>
    <t>Ciudad</t>
  </si>
  <si>
    <t>Provincia</t>
  </si>
  <si>
    <t>Madrid</t>
  </si>
  <si>
    <t>Barcelona</t>
  </si>
  <si>
    <t>Bilbao</t>
  </si>
  <si>
    <t>Vizcaya</t>
  </si>
  <si>
    <t>Valencia</t>
  </si>
  <si>
    <t>París</t>
  </si>
  <si>
    <t>Francia</t>
  </si>
  <si>
    <t xml:space="preserve">                          </t>
  </si>
  <si>
    <t>id club</t>
  </si>
  <si>
    <t>Club</t>
  </si>
  <si>
    <t>Año de fundación</t>
  </si>
  <si>
    <t>Real Madrid</t>
  </si>
  <si>
    <t>FC Barcelona</t>
  </si>
  <si>
    <t>Atlético de Madrid</t>
  </si>
  <si>
    <t>Athletic Club</t>
  </si>
  <si>
    <t>Valencia CF</t>
  </si>
  <si>
    <t>Paris Saint-Germain</t>
  </si>
  <si>
    <t>ID_Jugador</t>
  </si>
  <si>
    <t>Jugador</t>
  </si>
  <si>
    <t>Posición</t>
  </si>
  <si>
    <t>Dorsal</t>
  </si>
  <si>
    <t>Kylian Mbappé</t>
  </si>
  <si>
    <t>Delantero</t>
  </si>
  <si>
    <t>Vinícius Júnior</t>
  </si>
  <si>
    <t>Robert Lewandowski</t>
  </si>
  <si>
    <t>Pedri</t>
  </si>
  <si>
    <t>Centrocampista</t>
  </si>
  <si>
    <t>Antoine Griezmann</t>
  </si>
  <si>
    <t>Jan Oblak</t>
  </si>
  <si>
    <t>Portero</t>
  </si>
  <si>
    <t>Nico Williams</t>
  </si>
  <si>
    <t>Unai Simón</t>
  </si>
  <si>
    <t>José Luis Gayà</t>
  </si>
  <si>
    <t>Defensa</t>
  </si>
  <si>
    <t>Hugo Duro</t>
  </si>
  <si>
    <t>Ousmane Dembélé</t>
  </si>
  <si>
    <t>Achraf Hakimi</t>
  </si>
  <si>
    <t>ID_entrenador</t>
  </si>
  <si>
    <t>Entrenador</t>
  </si>
  <si>
    <t>Mourinho</t>
  </si>
  <si>
    <t>Hansi Flick</t>
  </si>
  <si>
    <t>Diego Simeone</t>
  </si>
  <si>
    <t>Ernesto Valverde</t>
  </si>
  <si>
    <t>Rubén Baraja</t>
  </si>
  <si>
    <t>Luis Enrique</t>
  </si>
  <si>
    <t>ID_presi</t>
  </si>
  <si>
    <t>Presidente</t>
  </si>
  <si>
    <t>ID_Club</t>
  </si>
  <si>
    <t>Columna1</t>
  </si>
  <si>
    <t>Florentino Pérez</t>
  </si>
  <si>
    <t>Joan Laporta</t>
  </si>
  <si>
    <t>Enrique Cerezo</t>
  </si>
  <si>
    <t>Jon Uriarte</t>
  </si>
  <si>
    <t>Layhoon Chan</t>
  </si>
  <si>
    <t>Nasser Al-Khelaifi</t>
  </si>
  <si>
    <t>ID jugador</t>
  </si>
  <si>
    <t>Nombres</t>
  </si>
  <si>
    <t>ID_CLUB</t>
  </si>
  <si>
    <t>ID_club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</si>
</sst>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Mona Sans VF"/>
      <charset val="1"/>
    </font>
    <font>
      <sz val="14"/>
      <color theme="1"/>
      <name val="Aparajita"/>
    </font>
    <font>
      <b/>
      <sz val="12"/>
      <color rgb="FF000000"/>
      <name val="Mona Sans VF"/>
    </font>
    <font>
      <sz val="14"/>
      <color theme="0"/>
      <name val="Aparajita"/>
    </font>
    <font>
      <sz val="12"/>
      <color theme="0"/>
      <name val="Mona Sans VF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  <border>
      <left/>
      <right style="thin">
        <color rgb="FF3D444D"/>
      </right>
      <top style="thin">
        <color rgb="FF3D444D"/>
      </top>
      <bottom style="thin">
        <color rgb="FF3D444D"/>
      </bottom>
      <diagonal/>
    </border>
    <border>
      <left style="thin">
        <color rgb="FF3D444D"/>
      </left>
      <right/>
      <top style="thin">
        <color rgb="FF3D444D"/>
      </top>
      <bottom style="thin">
        <color rgb="FF3D444D"/>
      </bottom>
      <diagonal/>
    </border>
    <border>
      <left/>
      <right style="thin">
        <color rgb="FF3D444D"/>
      </right>
      <top/>
      <bottom style="thin">
        <color rgb="FF3D444D"/>
      </bottom>
      <diagonal/>
    </border>
    <border>
      <left style="thin">
        <color rgb="FF3D444D"/>
      </left>
      <right style="thin">
        <color rgb="FF3D444D"/>
      </right>
      <top/>
      <bottom style="thin">
        <color rgb="FF3D444D"/>
      </bottom>
      <diagonal/>
    </border>
    <border>
      <left style="thin">
        <color rgb="FF3D444D"/>
      </left>
      <right/>
      <top/>
      <bottom style="thin">
        <color rgb="FF3D444D"/>
      </bottom>
      <diagonal/>
    </border>
    <border>
      <left/>
      <right style="thin">
        <color rgb="FF3D444D"/>
      </right>
      <top style="thin">
        <color rgb="FF3D444D"/>
      </top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/>
      <diagonal/>
    </border>
    <border>
      <left style="thin">
        <color rgb="FF3D444D"/>
      </left>
      <right/>
      <top style="thin">
        <color rgb="FF3D444D"/>
      </top>
      <bottom/>
      <diagonal/>
    </border>
    <border>
      <left/>
      <right/>
      <top style="thin">
        <color rgb="FF3D444D"/>
      </top>
      <bottom style="thin">
        <color rgb="FF3D444D"/>
      </bottom>
      <diagonal/>
    </border>
    <border>
      <left/>
      <right/>
      <top/>
      <bottom style="thin">
        <color rgb="FF3D444D"/>
      </bottom>
      <diagonal/>
    </border>
    <border>
      <left/>
      <right/>
      <top style="thin">
        <color rgb="FF3D444D"/>
      </top>
      <bottom/>
      <diagonal/>
    </border>
    <border>
      <left style="thin">
        <color rgb="FF3D444D"/>
      </left>
      <right style="thin">
        <color rgb="FF3D444D"/>
      </right>
      <top/>
      <bottom/>
      <diagonal/>
    </border>
    <border>
      <left style="thin">
        <color rgb="FF3D444D"/>
      </left>
      <right style="thin">
        <color rgb="FF3D444D"/>
      </right>
      <top style="thin">
        <color theme="4"/>
      </top>
      <bottom style="thin">
        <color rgb="FF3D444D"/>
      </bottom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theme="4"/>
      </bottom>
      <diagonal/>
    </border>
    <border>
      <left style="thin">
        <color rgb="FF3D444D"/>
      </left>
      <right style="thin">
        <color rgb="FF3D444D"/>
      </right>
      <top style="thin">
        <color theme="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10" xfId="0" applyFont="1" applyFill="1" applyBorder="1" applyAlignment="1">
      <alignment horizontal="right" vertical="center" wrapText="1"/>
    </xf>
    <xf numFmtId="0" fontId="1" fillId="0" borderId="11" xfId="0" applyFont="1" applyFill="1" applyBorder="1" applyAlignment="1">
      <alignment horizontal="right" vertical="center" wrapText="1"/>
    </xf>
    <xf numFmtId="0" fontId="1" fillId="0" borderId="12" xfId="0" applyFont="1" applyFill="1" applyBorder="1" applyAlignment="1">
      <alignment horizontal="right" vertical="center" wrapText="1"/>
    </xf>
    <xf numFmtId="0" fontId="3" fillId="0" borderId="11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/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border outline="0">
        <top style="thin">
          <color rgb="FF3D444D"/>
        </top>
      </border>
    </dxf>
    <dxf>
      <border outline="0">
        <bottom style="thin">
          <color rgb="FF3D444D"/>
        </bottom>
      </border>
    </dxf>
    <dxf>
      <border outline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D444D"/>
        </left>
        <right style="thin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border outline="0">
        <left style="thin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border outline="0">
        <bottom style="thin">
          <color rgb="FF3D444D"/>
        </bottom>
      </border>
    </dxf>
    <dxf>
      <border outline="0">
        <top style="thin">
          <color rgb="FF3D444D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3D444D"/>
        </left>
        <right style="thin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rgb="FF3D444D"/>
        </top>
        <bottom style="thin">
          <color rgb="FF3D444D"/>
        </bottom>
        <vertical/>
        <horizontal/>
      </border>
    </dxf>
    <dxf>
      <border outline="0">
        <top style="thin">
          <color rgb="FF3D444D"/>
        </top>
      </border>
    </dxf>
    <dxf>
      <border outline="0">
        <bottom style="thin">
          <color rgb="FF3D444D"/>
        </bottom>
      </border>
    </dxf>
    <dxf>
      <border outline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ona Sans VF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3D444D"/>
        </left>
        <right/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border outline="0">
        <top style="thin">
          <color rgb="FF3D444D"/>
        </top>
      </border>
    </dxf>
    <dxf>
      <border outline="0">
        <bottom style="thin">
          <color rgb="FF3D444D"/>
        </bottom>
      </border>
    </dxf>
    <dxf>
      <border outline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border outline="0">
        <left style="thin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3D444D"/>
        </left>
        <right style="thin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/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border outline="0">
        <top style="thin">
          <color rgb="FF3D444D"/>
        </top>
      </border>
    </dxf>
    <dxf>
      <border outline="0">
        <bottom style="thin">
          <color rgb="FF3D444D"/>
        </bottom>
      </border>
    </dxf>
    <dxf>
      <border outline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D444D"/>
        </left>
        <right style="thin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/>
        <top style="thin">
          <color rgb="FF3D444D"/>
        </top>
        <bottom style="thin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3D444D"/>
        </left>
        <right style="thin">
          <color rgb="FF3D444D"/>
        </right>
        <top style="thin">
          <color rgb="FF3D444D"/>
        </top>
        <bottom style="thin">
          <color rgb="FF3D444D"/>
        </bottom>
        <vertical/>
        <horizontal/>
      </border>
    </dxf>
    <dxf>
      <border outline="0">
        <top style="thin">
          <color rgb="FF3D444D"/>
        </top>
      </border>
    </dxf>
    <dxf>
      <border outline="0">
        <bottom style="thin">
          <color rgb="FF3D444D"/>
        </bottom>
      </border>
    </dxf>
    <dxf>
      <border outline="0">
        <left style="thin">
          <color rgb="FF3D444D"/>
        </left>
        <right style="thin">
          <color rgb="FF3D444D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 Sans VF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3D444D"/>
        </left>
        <right style="thin">
          <color rgb="FF3D444D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241C57-281E-498C-8B13-04B85329E4CF}" name="Tabla7" displayName="Tabla7" ref="A1:C6" totalsRowShown="0" headerRowDxfId="57" headerRowBorderDxfId="55" tableBorderDxfId="56" totalsRowBorderDxfId="54">
  <autoFilter ref="A1:C6" xr:uid="{62241C57-281E-498C-8B13-04B85329E4CF}"/>
  <tableColumns count="3">
    <tableColumn id="3" xr3:uid="{0F173DCB-7D4A-4D1F-B17B-19A5D968CFFF}" name="ID_Ciudad" dataDxfId="53"/>
    <tableColumn id="4" xr3:uid="{5D551C6A-5BEB-463F-BFE0-7A6327CCC4D4}" name="Ciudad" dataDxfId="52"/>
    <tableColumn id="2" xr3:uid="{DB84A299-58F1-427F-BDCC-43DB5781D19F}" name="Provincia" dataDxfId="5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164C64-4DFE-4D86-8087-3FB6760D5016}" name="Tabla2" displayName="Tabla2" ref="A1:D7" totalsRowShown="0" headerRowDxfId="50" dataDxfId="49" headerRowBorderDxfId="47" tableBorderDxfId="48" totalsRowBorderDxfId="46">
  <autoFilter ref="A1:D7" xr:uid="{A2164C64-4DFE-4D86-8087-3FB6760D5016}"/>
  <tableColumns count="4">
    <tableColumn id="8" xr3:uid="{11A9EBB5-198C-4D52-B1C4-B3CAB1F2BCFD}" name="id club" dataDxfId="45"/>
    <tableColumn id="1" xr3:uid="{43E4E9F1-D487-4DE4-BA86-DAFA8DAA1762}" name="Club" dataDxfId="44"/>
    <tableColumn id="3" xr3:uid="{A3720877-0747-4CB2-A69A-38A1641CFF64}" name="ID_Ciudad" dataDxfId="43"/>
    <tableColumn id="5" xr3:uid="{33C6A2D0-FCF9-4A06-8784-DD80CCB783B0}" name="Año de fundación" dataDxfId="4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69140-2A71-4660-90BC-ACB5A3616978}" name="Tabla1" displayName="Tabla1" ref="A1:E13" totalsRowShown="0" headerRowDxfId="41" dataDxfId="40" tableBorderDxfId="39">
  <autoFilter ref="A1:E13" xr:uid="{32469140-2A71-4660-90BC-ACB5A3616978}"/>
  <tableColumns count="5">
    <tableColumn id="6" xr3:uid="{12DE1B0E-334F-479D-A9BA-EE404C8CC589}" name="ID_Jugador" dataDxfId="38">
      <calculatedColumnFormula>ROW() - ROW(Tabla1[[#Headers],[ID_Jugador]])</calculatedColumnFormula>
    </tableColumn>
    <tableColumn id="1" xr3:uid="{9367CB4D-098D-4C88-80C6-C01CA1DF229E}" name="Jugador" dataDxfId="37"/>
    <tableColumn id="2" xr3:uid="{04D5915E-7559-423F-B93D-EF9A6CE797F0}" name="Posición" dataDxfId="36"/>
    <tableColumn id="3" xr3:uid="{8A0463B0-48E2-4278-B637-A4F9E003281E}" name="Dorsal" dataDxfId="35"/>
    <tableColumn id="4" xr3:uid="{9E11829F-87D0-4A1F-9DDC-9B21E4B64288}" name="Club" dataDxfId="3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ED7177-6B4D-4D47-BAF1-C852580D3DF3}" name="Tabla3" displayName="Tabla3" ref="A1:C7" totalsRowShown="0" headerRowBorderDxfId="32" tableBorderDxfId="33" totalsRowBorderDxfId="31">
  <autoFilter ref="A1:C7" xr:uid="{75ED7177-6B4D-4D47-BAF1-C852580D3DF3}"/>
  <tableColumns count="3">
    <tableColumn id="4" xr3:uid="{0731103A-40C2-495B-94BC-E337CEE065C3}" name="ID_entrenador" dataDxfId="30"/>
    <tableColumn id="1" xr3:uid="{CD04FE02-38D4-4267-B95F-2E9C240E202A}" name="Entrenador" dataDxfId="29"/>
    <tableColumn id="3" xr3:uid="{1DC614DA-1633-49DB-BBC2-DED9322D6631}" name="id club" dataDxfId="2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25CEEB-B07C-4380-9D16-49738E5613D2}" name="Tabla4" displayName="Tabla4" ref="C1:D7" totalsRowShown="0" headerRowDxfId="27" dataDxfId="26" headerRowBorderDxfId="24" tableBorderDxfId="25" totalsRowBorderDxfId="23">
  <autoFilter ref="C1:D7" xr:uid="{BD25CEEB-B07C-4380-9D16-49738E5613D2}"/>
  <tableColumns count="2">
    <tableColumn id="1" xr3:uid="{60514A62-FDCC-47ED-891C-2DD023B57DF4}" name="ID_Club" dataDxfId="22"/>
    <tableColumn id="2" xr3:uid="{CDCF19A1-94C9-4BAA-AF1A-C766D4814F1F}" name="Columna1" dataDxfId="2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DF90E5-827B-4855-9BCA-7F08B5B3B32A}" name="Tabla5" displayName="Tabla5" ref="A1:B8" totalsRowShown="0" headerRowDxfId="20" dataDxfId="19" headerRowBorderDxfId="17" tableBorderDxfId="18">
  <autoFilter ref="A1:B8" xr:uid="{28DF90E5-827B-4855-9BCA-7F08B5B3B32A}"/>
  <tableColumns count="2">
    <tableColumn id="3" xr3:uid="{B16CB359-A946-4B9E-8114-03729692551C}" name="ID_presi" dataDxfId="16"/>
    <tableColumn id="1" xr3:uid="{0A09E813-B437-41EE-BCCA-C7EAFDBFC44E}" name="Presidente" dataDxfId="1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93A626-0CF7-4219-AAD8-4B1491081E30}" name="Tabla17" displayName="Tabla17" ref="A1:C13" totalsRowShown="0" headerRowDxfId="14" dataDxfId="13" tableBorderDxfId="12">
  <autoFilter ref="A1:C13" xr:uid="{3793A626-0CF7-4219-AAD8-4B1491081E30}"/>
  <tableColumns count="3">
    <tableColumn id="6" xr3:uid="{D00BCB11-B5A7-4AE6-8109-52E12846649E}" name="ID jugador" dataDxfId="11">
      <calculatedColumnFormula>ROW() - ROW(Tabla1[[#Headers],[ID_Jugador]])</calculatedColumnFormula>
    </tableColumn>
    <tableColumn id="3" xr3:uid="{EA0C0CEA-5448-4CFA-A20E-9A4BB71A04A2}" name="Nombres" dataDxfId="10"/>
    <tableColumn id="7" xr3:uid="{1C9B2EB1-1212-4860-9B3A-84A0AF65DA65}" name="ID_CLUB" dataDxfId="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5AC6CC-F1CA-4D4C-9AAB-F54B85C94995}" name="Tabla210" displayName="Tabla210" ref="A1:D6" totalsRowShown="0" headerRowDxfId="8" dataDxfId="7" headerRowBorderDxfId="5" tableBorderDxfId="6" totalsRowBorderDxfId="4">
  <autoFilter ref="A1:D6" xr:uid="{505AC6CC-F1CA-4D4C-9AAB-F54B85C94995}"/>
  <tableColumns count="4">
    <tableColumn id="1" xr3:uid="{A1DB681D-1419-42F4-A553-4F97A0BE1836}" name="Club" dataDxfId="3"/>
    <tableColumn id="8" xr3:uid="{5118D758-7E7A-4013-A28C-D633B9C837AF}" name="ID_club" dataDxfId="2">
      <calculatedColumnFormula>ROW() - ROW(Tabla210[[#Headers],[ID_club]])</calculatedColumnFormula>
    </tableColumn>
    <tableColumn id="5" xr3:uid="{099630A9-3F11-4D6E-862C-491C483CBD9F}" name="Año de fundación" dataDxfId="1"/>
    <tableColumn id="3" xr3:uid="{4D7E70BF-B6F8-4FA0-B21F-5EF040BACA83}" name="ID_Ciuda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6BAD-5186-40F9-9F2C-0C3BAB8848C4}">
  <dimension ref="A1:E13"/>
  <sheetViews>
    <sheetView workbookViewId="0">
      <selection activeCell="S1" sqref="S1"/>
    </sheetView>
  </sheetViews>
  <sheetFormatPr defaultRowHeight="15"/>
  <cols>
    <col min="1" max="1" width="16.42578125" customWidth="1"/>
    <col min="2" max="2" width="12.7109375" customWidth="1"/>
    <col min="3" max="3" width="11.42578125" bestFit="1" customWidth="1"/>
  </cols>
  <sheetData>
    <row r="1" spans="1:5" ht="17.25">
      <c r="A1" s="5" t="s">
        <v>0</v>
      </c>
      <c r="B1" s="6" t="s">
        <v>1</v>
      </c>
      <c r="C1" s="4" t="s">
        <v>2</v>
      </c>
    </row>
    <row r="2" spans="1:5" ht="17.25">
      <c r="A2" s="22">
        <v>11</v>
      </c>
      <c r="B2" s="32" t="s">
        <v>3</v>
      </c>
      <c r="C2" s="22" t="s">
        <v>3</v>
      </c>
    </row>
    <row r="3" spans="1:5" ht="17.25">
      <c r="A3" s="22">
        <v>12</v>
      </c>
      <c r="B3" s="32" t="s">
        <v>4</v>
      </c>
      <c r="C3" s="22" t="s">
        <v>4</v>
      </c>
    </row>
    <row r="4" spans="1:5" ht="17.25">
      <c r="A4" s="22">
        <v>14</v>
      </c>
      <c r="B4" s="32" t="s">
        <v>5</v>
      </c>
      <c r="C4" s="22" t="s">
        <v>6</v>
      </c>
    </row>
    <row r="5" spans="1:5" ht="17.25">
      <c r="A5" s="22">
        <v>15</v>
      </c>
      <c r="B5" s="32" t="s">
        <v>7</v>
      </c>
      <c r="C5" s="22" t="s">
        <v>7</v>
      </c>
    </row>
    <row r="6" spans="1:5" ht="17.25">
      <c r="A6" s="33">
        <v>16</v>
      </c>
      <c r="B6" s="34" t="s">
        <v>8</v>
      </c>
      <c r="C6" s="33" t="s">
        <v>9</v>
      </c>
    </row>
    <row r="13" spans="1:5">
      <c r="E1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4DC1-9D2F-4D86-9F9B-E21FB9F4A4C3}">
  <dimension ref="A1:E7"/>
  <sheetViews>
    <sheetView workbookViewId="0">
      <selection activeCell="E1" sqref="E1"/>
    </sheetView>
  </sheetViews>
  <sheetFormatPr defaultRowHeight="15"/>
  <cols>
    <col min="1" max="1" width="24.42578125" customWidth="1"/>
    <col min="2" max="2" width="15.42578125" customWidth="1"/>
    <col min="3" max="3" width="14.28515625" customWidth="1"/>
    <col min="4" max="4" width="17.42578125" customWidth="1"/>
    <col min="5" max="5" width="11.28515625" bestFit="1" customWidth="1"/>
    <col min="6" max="8" width="24.42578125" customWidth="1"/>
  </cols>
  <sheetData>
    <row r="1" spans="1:5" ht="36">
      <c r="A1" s="24" t="s">
        <v>11</v>
      </c>
      <c r="B1" s="3" t="s">
        <v>12</v>
      </c>
      <c r="C1" s="5" t="s">
        <v>0</v>
      </c>
      <c r="D1" s="6" t="s">
        <v>13</v>
      </c>
      <c r="E1" s="11"/>
    </row>
    <row r="2" spans="1:5" ht="17.25">
      <c r="A2" s="24">
        <v>1</v>
      </c>
      <c r="B2" s="35" t="s">
        <v>14</v>
      </c>
      <c r="C2" s="22">
        <v>11</v>
      </c>
      <c r="D2" s="32">
        <v>1902</v>
      </c>
      <c r="E2" s="11"/>
    </row>
    <row r="3" spans="1:5" ht="17.25">
      <c r="A3" s="23">
        <v>2</v>
      </c>
      <c r="B3" s="35" t="s">
        <v>15</v>
      </c>
      <c r="C3" s="22">
        <v>12</v>
      </c>
      <c r="D3" s="32">
        <v>1899</v>
      </c>
      <c r="E3" s="11"/>
    </row>
    <row r="4" spans="1:5" ht="36">
      <c r="A4" s="23">
        <v>3</v>
      </c>
      <c r="B4" s="35" t="s">
        <v>16</v>
      </c>
      <c r="C4" s="22">
        <v>11</v>
      </c>
      <c r="D4" s="32">
        <v>1903</v>
      </c>
      <c r="E4" s="11"/>
    </row>
    <row r="5" spans="1:5" ht="17.25">
      <c r="A5" s="23">
        <v>4</v>
      </c>
      <c r="B5" s="35" t="s">
        <v>17</v>
      </c>
      <c r="C5" s="22">
        <v>14</v>
      </c>
      <c r="D5" s="32">
        <v>1898</v>
      </c>
      <c r="E5" s="11"/>
    </row>
    <row r="6" spans="1:5" ht="17.25">
      <c r="A6" s="23">
        <v>5</v>
      </c>
      <c r="B6" s="35" t="s">
        <v>18</v>
      </c>
      <c r="C6" s="22">
        <v>15</v>
      </c>
      <c r="D6" s="32">
        <v>1919</v>
      </c>
      <c r="E6" s="11"/>
    </row>
    <row r="7" spans="1:5" ht="36">
      <c r="A7" s="25">
        <v>6</v>
      </c>
      <c r="B7" s="36" t="s">
        <v>19</v>
      </c>
      <c r="C7" s="33">
        <v>16</v>
      </c>
      <c r="D7" s="34">
        <v>1970</v>
      </c>
      <c r="E7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A13" sqref="A2:A13"/>
    </sheetView>
  </sheetViews>
  <sheetFormatPr defaultRowHeight="15"/>
  <cols>
    <col min="1" max="1" width="18" customWidth="1"/>
    <col min="2" max="2" width="18.42578125" customWidth="1"/>
    <col min="3" max="3" width="18" customWidth="1"/>
    <col min="4" max="4" width="15.140625" customWidth="1"/>
    <col min="5" max="5" width="20.42578125" customWidth="1"/>
  </cols>
  <sheetData>
    <row r="1" spans="1:5" ht="20.25">
      <c r="A1" s="10" t="s">
        <v>20</v>
      </c>
      <c r="B1" s="2" t="s">
        <v>21</v>
      </c>
      <c r="C1" s="1" t="s">
        <v>22</v>
      </c>
      <c r="D1" s="1" t="s">
        <v>23</v>
      </c>
      <c r="E1" s="1" t="s">
        <v>12</v>
      </c>
    </row>
    <row r="2" spans="1:5" ht="21">
      <c r="A2" s="37">
        <f>ROW() - ROW(Tabla1[[#Headers],[ID_Jugador]])</f>
        <v>1</v>
      </c>
      <c r="B2" s="2" t="s">
        <v>24</v>
      </c>
      <c r="C2" s="1" t="s">
        <v>25</v>
      </c>
      <c r="D2" s="38">
        <v>9</v>
      </c>
      <c r="E2" s="38">
        <v>1</v>
      </c>
    </row>
    <row r="3" spans="1:5" ht="21">
      <c r="A3" s="38">
        <f>ROW() - ROW(Tabla1[[#Headers],[ID_Jugador]])</f>
        <v>2</v>
      </c>
      <c r="B3" s="2" t="s">
        <v>26</v>
      </c>
      <c r="C3" s="1" t="s">
        <v>25</v>
      </c>
      <c r="D3" s="38">
        <v>7</v>
      </c>
      <c r="E3" s="38">
        <v>1</v>
      </c>
    </row>
    <row r="4" spans="1:5" ht="41.25">
      <c r="A4" s="39">
        <f>ROW() - ROW(Tabla1[[#Headers],[ID_Jugador]])</f>
        <v>3</v>
      </c>
      <c r="B4" s="2" t="s">
        <v>27</v>
      </c>
      <c r="C4" s="16" t="s">
        <v>25</v>
      </c>
      <c r="D4" s="39">
        <v>9</v>
      </c>
      <c r="E4" s="39">
        <v>2</v>
      </c>
    </row>
    <row r="5" spans="1:5" ht="21">
      <c r="A5" s="38">
        <f>ROW() - ROW(Tabla1[[#Headers],[ID_Jugador]])</f>
        <v>4</v>
      </c>
      <c r="B5" s="2" t="s">
        <v>28</v>
      </c>
      <c r="C5" s="1" t="s">
        <v>29</v>
      </c>
      <c r="D5" s="38">
        <v>8</v>
      </c>
      <c r="E5" s="38">
        <v>2</v>
      </c>
    </row>
    <row r="6" spans="1:5" ht="21">
      <c r="A6" s="38">
        <f>ROW() - ROW(Tabla1[[#Headers],[ID_Jugador]])</f>
        <v>5</v>
      </c>
      <c r="B6" s="2" t="s">
        <v>30</v>
      </c>
      <c r="C6" s="1" t="s">
        <v>25</v>
      </c>
      <c r="D6" s="38">
        <v>7</v>
      </c>
      <c r="E6" s="38">
        <v>3</v>
      </c>
    </row>
    <row r="7" spans="1:5" ht="21">
      <c r="A7" s="38">
        <f>ROW() - ROW(Tabla1[[#Headers],[ID_Jugador]])</f>
        <v>6</v>
      </c>
      <c r="B7" s="2" t="s">
        <v>31</v>
      </c>
      <c r="C7" s="1" t="s">
        <v>32</v>
      </c>
      <c r="D7" s="38">
        <v>13</v>
      </c>
      <c r="E7" s="38">
        <v>3</v>
      </c>
    </row>
    <row r="8" spans="1:5" ht="21">
      <c r="A8" s="38">
        <f>ROW() - ROW(Tabla1[[#Headers],[ID_Jugador]])</f>
        <v>7</v>
      </c>
      <c r="B8" s="2" t="s">
        <v>33</v>
      </c>
      <c r="C8" s="1" t="s">
        <v>25</v>
      </c>
      <c r="D8" s="38">
        <v>10</v>
      </c>
      <c r="E8" s="38">
        <v>4</v>
      </c>
    </row>
    <row r="9" spans="1:5" ht="21">
      <c r="A9" s="38">
        <f>ROW() - ROW(Tabla1[[#Headers],[ID_Jugador]])</f>
        <v>8</v>
      </c>
      <c r="B9" s="2" t="s">
        <v>34</v>
      </c>
      <c r="C9" s="1" t="s">
        <v>32</v>
      </c>
      <c r="D9" s="38">
        <v>1</v>
      </c>
      <c r="E9" s="38">
        <v>4</v>
      </c>
    </row>
    <row r="10" spans="1:5" ht="21">
      <c r="A10" s="38">
        <f>ROW() - ROW(Tabla1[[#Headers],[ID_Jugador]])</f>
        <v>9</v>
      </c>
      <c r="B10" s="2" t="s">
        <v>35</v>
      </c>
      <c r="C10" s="1" t="s">
        <v>36</v>
      </c>
      <c r="D10" s="38">
        <v>14</v>
      </c>
      <c r="E10" s="38">
        <v>5</v>
      </c>
    </row>
    <row r="11" spans="1:5" ht="21">
      <c r="A11" s="38">
        <f>ROW() - ROW(Tabla1[[#Headers],[ID_Jugador]])</f>
        <v>10</v>
      </c>
      <c r="B11" s="2" t="s">
        <v>37</v>
      </c>
      <c r="C11" s="1" t="s">
        <v>25</v>
      </c>
      <c r="D11" s="38">
        <v>9</v>
      </c>
      <c r="E11" s="38">
        <v>5</v>
      </c>
    </row>
    <row r="12" spans="1:5" ht="21">
      <c r="A12" s="38">
        <f>ROW() - ROW(Tabla1[[#Headers],[ID_Jugador]])</f>
        <v>11</v>
      </c>
      <c r="B12" s="2" t="s">
        <v>38</v>
      </c>
      <c r="C12" s="1" t="s">
        <v>25</v>
      </c>
      <c r="D12" s="38">
        <v>10</v>
      </c>
      <c r="E12" s="38">
        <v>6</v>
      </c>
    </row>
    <row r="13" spans="1:5" ht="21">
      <c r="A13" s="40">
        <f>ROW() - ROW(Tabla1[[#Headers],[ID_Jugador]])</f>
        <v>12</v>
      </c>
      <c r="B13" s="2" t="s">
        <v>39</v>
      </c>
      <c r="C13" s="1" t="s">
        <v>36</v>
      </c>
      <c r="D13" s="38">
        <v>2</v>
      </c>
      <c r="E13" s="38">
        <v>6</v>
      </c>
    </row>
    <row r="14" spans="1:5">
      <c r="D14" s="27"/>
      <c r="E14" s="27"/>
    </row>
    <row r="15" spans="1:5">
      <c r="D15" s="27"/>
      <c r="E15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0CA6-7C64-48F5-A678-0BE95C424598}">
  <dimension ref="A1:C7"/>
  <sheetViews>
    <sheetView workbookViewId="0">
      <selection activeCell="A7" sqref="A7"/>
    </sheetView>
  </sheetViews>
  <sheetFormatPr defaultRowHeight="15"/>
  <cols>
    <col min="1" max="2" width="17" customWidth="1"/>
    <col min="3" max="3" width="13" customWidth="1"/>
  </cols>
  <sheetData>
    <row r="1" spans="1:3" ht="17.25">
      <c r="A1" s="8" t="s">
        <v>40</v>
      </c>
      <c r="B1" s="8" t="s">
        <v>41</v>
      </c>
      <c r="C1" s="7" t="s">
        <v>11</v>
      </c>
    </row>
    <row r="2" spans="1:3" ht="17.25">
      <c r="A2" s="41">
        <v>1</v>
      </c>
      <c r="B2" s="35" t="s">
        <v>42</v>
      </c>
      <c r="C2" s="42">
        <v>1</v>
      </c>
    </row>
    <row r="3" spans="1:3" ht="17.25">
      <c r="A3" s="41">
        <v>2</v>
      </c>
      <c r="B3" s="35" t="s">
        <v>43</v>
      </c>
      <c r="C3" s="42">
        <v>2</v>
      </c>
    </row>
    <row r="4" spans="1:3" ht="17.25">
      <c r="A4" s="41">
        <v>3</v>
      </c>
      <c r="B4" s="35" t="s">
        <v>44</v>
      </c>
      <c r="C4" s="42">
        <v>3</v>
      </c>
    </row>
    <row r="5" spans="1:3" ht="36">
      <c r="A5" s="41">
        <v>4</v>
      </c>
      <c r="B5" s="35" t="s">
        <v>45</v>
      </c>
      <c r="C5" s="42">
        <v>4</v>
      </c>
    </row>
    <row r="6" spans="1:3" ht="17.25">
      <c r="A6" s="41">
        <v>5</v>
      </c>
      <c r="B6" s="35" t="s">
        <v>46</v>
      </c>
      <c r="C6" s="42">
        <v>5</v>
      </c>
    </row>
    <row r="7" spans="1:3" ht="17.25">
      <c r="A7" s="43">
        <v>8</v>
      </c>
      <c r="B7" s="36" t="s">
        <v>47</v>
      </c>
      <c r="C7" s="44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E1A3-487B-46AD-8957-663744C92072}">
  <dimension ref="A1:D7"/>
  <sheetViews>
    <sheetView tabSelected="1" workbookViewId="0">
      <selection activeCell="C4" sqref="C4"/>
    </sheetView>
  </sheetViews>
  <sheetFormatPr defaultRowHeight="15"/>
  <cols>
    <col min="1" max="2" width="15.5703125" customWidth="1"/>
    <col min="3" max="3" width="12.85546875" customWidth="1"/>
    <col min="4" max="4" width="13.85546875" customWidth="1"/>
  </cols>
  <sheetData>
    <row r="1" spans="1:4" ht="17.25">
      <c r="A1" s="9" t="s">
        <v>48</v>
      </c>
      <c r="B1" s="9" t="s">
        <v>49</v>
      </c>
      <c r="C1" s="26" t="s">
        <v>50</v>
      </c>
      <c r="D1" s="31" t="s">
        <v>51</v>
      </c>
    </row>
    <row r="2" spans="1:4" ht="36">
      <c r="A2" s="45">
        <v>1</v>
      </c>
      <c r="B2" s="46" t="s">
        <v>52</v>
      </c>
      <c r="C2" s="47">
        <v>1</v>
      </c>
      <c r="D2" s="29"/>
    </row>
    <row r="3" spans="1:4" ht="17.25">
      <c r="A3" s="45">
        <v>2</v>
      </c>
      <c r="B3" s="46" t="s">
        <v>53</v>
      </c>
      <c r="C3" s="47">
        <v>2</v>
      </c>
      <c r="D3" s="28"/>
    </row>
    <row r="4" spans="1:4" ht="36">
      <c r="A4" s="45">
        <v>3</v>
      </c>
      <c r="B4" s="46" t="s">
        <v>54</v>
      </c>
      <c r="C4" s="47">
        <v>3</v>
      </c>
      <c r="D4" s="28">
        <v>7</v>
      </c>
    </row>
    <row r="5" spans="1:4" ht="17.25">
      <c r="A5" s="45">
        <v>4</v>
      </c>
      <c r="B5" s="46" t="s">
        <v>55</v>
      </c>
      <c r="C5" s="47">
        <v>4</v>
      </c>
      <c r="D5" s="28"/>
    </row>
    <row r="6" spans="1:4" ht="17.25">
      <c r="A6" s="45">
        <v>5</v>
      </c>
      <c r="B6" s="46" t="s">
        <v>56</v>
      </c>
      <c r="C6" s="47">
        <v>5</v>
      </c>
      <c r="D6" s="28"/>
    </row>
    <row r="7" spans="1:4" ht="36">
      <c r="A7" s="45">
        <v>6</v>
      </c>
      <c r="B7" s="46" t="s">
        <v>57</v>
      </c>
      <c r="C7" s="48">
        <v>6</v>
      </c>
      <c r="D7" s="30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5A02-BA91-4539-A3E5-4BA486C7E797}">
  <dimension ref="A1:I17"/>
  <sheetViews>
    <sheetView workbookViewId="0">
      <selection activeCell="J7" sqref="J7"/>
    </sheetView>
  </sheetViews>
  <sheetFormatPr defaultRowHeight="15"/>
  <cols>
    <col min="1" max="1" width="13.42578125" customWidth="1"/>
    <col min="2" max="2" width="18.28515625" customWidth="1"/>
    <col min="3" max="3" width="13.85546875" customWidth="1"/>
    <col min="6" max="6" width="9.42578125" customWidth="1"/>
    <col min="7" max="7" width="16.42578125" customWidth="1"/>
  </cols>
  <sheetData>
    <row r="1" spans="1:9" ht="41.25">
      <c r="A1" s="15" t="s">
        <v>58</v>
      </c>
      <c r="B1" s="16" t="s">
        <v>59</v>
      </c>
      <c r="C1" s="15" t="s">
        <v>60</v>
      </c>
      <c r="D1" s="13"/>
      <c r="E1" s="13"/>
      <c r="F1" s="17" t="s">
        <v>58</v>
      </c>
      <c r="G1" s="18" t="s">
        <v>22</v>
      </c>
      <c r="H1" s="18" t="s">
        <v>23</v>
      </c>
      <c r="I1" s="13"/>
    </row>
    <row r="2" spans="1:9" ht="21">
      <c r="A2" s="49">
        <f>ROW() - ROW(Tabla1[[#Headers],[ID_Jugador]])</f>
        <v>1</v>
      </c>
      <c r="B2" s="50" t="s">
        <v>24</v>
      </c>
      <c r="C2" s="51">
        <v>1</v>
      </c>
      <c r="D2" s="13"/>
      <c r="E2" s="13"/>
      <c r="F2" s="52">
        <f>ROW() - ROW(Tabla1[[#Headers],[ID_Jugador]])</f>
        <v>1</v>
      </c>
      <c r="G2" s="16" t="s">
        <v>25</v>
      </c>
      <c r="H2" s="16">
        <v>9</v>
      </c>
      <c r="I2" s="13"/>
    </row>
    <row r="3" spans="1:9" ht="21">
      <c r="A3" s="16">
        <f>ROW() - ROW(Tabla1[[#Headers],[ID_Jugador]])</f>
        <v>2</v>
      </c>
      <c r="B3" s="50" t="s">
        <v>26</v>
      </c>
      <c r="C3" s="51">
        <v>1</v>
      </c>
      <c r="D3" s="13"/>
      <c r="E3" s="13"/>
      <c r="F3" s="16">
        <f>ROW() - ROW(Tabla1[[#Headers],[ID_Jugador]])</f>
        <v>2</v>
      </c>
      <c r="G3" s="16" t="s">
        <v>25</v>
      </c>
      <c r="H3" s="16">
        <v>7</v>
      </c>
      <c r="I3" s="13"/>
    </row>
    <row r="4" spans="1:9" ht="41.25">
      <c r="A4" s="16">
        <f>ROW() - ROW(Tabla1[[#Headers],[ID_Jugador]])</f>
        <v>3</v>
      </c>
      <c r="B4" s="50" t="s">
        <v>27</v>
      </c>
      <c r="C4" s="51">
        <v>2</v>
      </c>
      <c r="D4" s="13"/>
      <c r="E4" s="13"/>
      <c r="F4" s="16">
        <f>ROW() - ROW(Tabla1[[#Headers],[ID_Jugador]])</f>
        <v>3</v>
      </c>
      <c r="G4" s="16" t="s">
        <v>25</v>
      </c>
      <c r="H4" s="16">
        <v>9</v>
      </c>
      <c r="I4" s="13"/>
    </row>
    <row r="5" spans="1:9" ht="21">
      <c r="A5" s="16">
        <f>ROW() - ROW(Tabla1[[#Headers],[ID_Jugador]])</f>
        <v>4</v>
      </c>
      <c r="B5" s="50" t="s">
        <v>28</v>
      </c>
      <c r="C5" s="51">
        <v>2</v>
      </c>
      <c r="D5" s="13"/>
      <c r="E5" s="13"/>
      <c r="F5" s="16">
        <f>ROW() - ROW(Tabla1[[#Headers],[ID_Jugador]])</f>
        <v>4</v>
      </c>
      <c r="G5" s="16" t="s">
        <v>29</v>
      </c>
      <c r="H5" s="16">
        <v>8</v>
      </c>
      <c r="I5" s="13"/>
    </row>
    <row r="6" spans="1:9" ht="21">
      <c r="A6" s="16">
        <f>ROW() - ROW(Tabla1[[#Headers],[ID_Jugador]])</f>
        <v>5</v>
      </c>
      <c r="B6" s="50" t="s">
        <v>30</v>
      </c>
      <c r="C6" s="51">
        <v>3</v>
      </c>
      <c r="D6" s="13"/>
      <c r="E6" s="13"/>
      <c r="F6" s="16">
        <f>ROW() - ROW(Tabla1[[#Headers],[ID_Jugador]])</f>
        <v>5</v>
      </c>
      <c r="G6" s="16" t="s">
        <v>25</v>
      </c>
      <c r="H6" s="16">
        <v>7</v>
      </c>
      <c r="I6" s="13"/>
    </row>
    <row r="7" spans="1:9" ht="21">
      <c r="A7" s="16">
        <f>ROW() - ROW(Tabla1[[#Headers],[ID_Jugador]])</f>
        <v>6</v>
      </c>
      <c r="B7" s="50" t="s">
        <v>31</v>
      </c>
      <c r="C7" s="51">
        <v>3</v>
      </c>
      <c r="D7" s="13"/>
      <c r="E7" s="13"/>
      <c r="F7" s="16">
        <f>ROW() - ROW(Tabla1[[#Headers],[ID_Jugador]])</f>
        <v>6</v>
      </c>
      <c r="G7" s="16" t="s">
        <v>32</v>
      </c>
      <c r="H7" s="16">
        <v>13</v>
      </c>
      <c r="I7" s="13"/>
    </row>
    <row r="8" spans="1:9" ht="21">
      <c r="A8" s="16">
        <f>ROW() - ROW(Tabla1[[#Headers],[ID_Jugador]])</f>
        <v>7</v>
      </c>
      <c r="B8" s="50" t="s">
        <v>33</v>
      </c>
      <c r="C8" s="51">
        <v>4</v>
      </c>
      <c r="D8" s="13"/>
      <c r="E8" s="13"/>
      <c r="F8" s="16">
        <f>ROW() - ROW(Tabla1[[#Headers],[ID_Jugador]])</f>
        <v>7</v>
      </c>
      <c r="G8" s="16" t="s">
        <v>25</v>
      </c>
      <c r="H8" s="16">
        <v>10</v>
      </c>
      <c r="I8" s="13"/>
    </row>
    <row r="9" spans="1:9" ht="21">
      <c r="A9" s="16">
        <f>ROW() - ROW(Tabla1[[#Headers],[ID_Jugador]])</f>
        <v>8</v>
      </c>
      <c r="B9" s="50" t="s">
        <v>34</v>
      </c>
      <c r="C9" s="51">
        <v>4</v>
      </c>
      <c r="D9" s="13"/>
      <c r="E9" s="13"/>
      <c r="F9" s="16">
        <f>ROW() - ROW(Tabla1[[#Headers],[ID_Jugador]])</f>
        <v>8</v>
      </c>
      <c r="G9" s="16" t="s">
        <v>32</v>
      </c>
      <c r="H9" s="16">
        <v>1</v>
      </c>
      <c r="I9" s="13"/>
    </row>
    <row r="10" spans="1:9" ht="21">
      <c r="A10" s="16">
        <f>ROW() - ROW(Tabla1[[#Headers],[ID_Jugador]])</f>
        <v>9</v>
      </c>
      <c r="B10" s="50" t="s">
        <v>35</v>
      </c>
      <c r="C10" s="51">
        <v>5</v>
      </c>
      <c r="D10" s="13"/>
      <c r="E10" s="13"/>
      <c r="F10" s="16">
        <f>ROW() - ROW(Tabla1[[#Headers],[ID_Jugador]])</f>
        <v>9</v>
      </c>
      <c r="G10" s="16" t="s">
        <v>36</v>
      </c>
      <c r="H10" s="16">
        <v>14</v>
      </c>
      <c r="I10" s="13"/>
    </row>
    <row r="11" spans="1:9" ht="21">
      <c r="A11" s="16">
        <f>ROW() - ROW(Tabla1[[#Headers],[ID_Jugador]])</f>
        <v>10</v>
      </c>
      <c r="B11" s="50" t="s">
        <v>37</v>
      </c>
      <c r="C11" s="51">
        <v>5</v>
      </c>
      <c r="D11" s="13"/>
      <c r="E11" s="13"/>
      <c r="F11" s="16">
        <f>ROW() - ROW(Tabla1[[#Headers],[ID_Jugador]])</f>
        <v>10</v>
      </c>
      <c r="G11" s="16" t="s">
        <v>25</v>
      </c>
      <c r="H11" s="16">
        <v>9</v>
      </c>
      <c r="I11" s="13"/>
    </row>
    <row r="12" spans="1:9" ht="21">
      <c r="A12" s="16">
        <f>ROW() - ROW(Tabla1[[#Headers],[ID_Jugador]])</f>
        <v>11</v>
      </c>
      <c r="B12" s="50" t="s">
        <v>38</v>
      </c>
      <c r="C12" s="51">
        <v>6</v>
      </c>
      <c r="D12" s="13"/>
      <c r="E12" s="13"/>
      <c r="F12" s="16">
        <f>ROW() - ROW(Tabla1[[#Headers],[ID_Jugador]])</f>
        <v>11</v>
      </c>
      <c r="G12" s="16" t="s">
        <v>25</v>
      </c>
      <c r="H12" s="16">
        <v>10</v>
      </c>
      <c r="I12" s="13"/>
    </row>
    <row r="13" spans="1:9" ht="21">
      <c r="A13" s="53">
        <f>ROW() - ROW(Tabla1[[#Headers],[ID_Jugador]])</f>
        <v>12</v>
      </c>
      <c r="B13" s="50" t="s">
        <v>39</v>
      </c>
      <c r="C13" s="51">
        <v>6</v>
      </c>
      <c r="D13" s="13"/>
      <c r="E13" s="13"/>
      <c r="F13" s="54">
        <f>ROW() - ROW(Tabla1[[#Headers],[ID_Jugador]])</f>
        <v>12</v>
      </c>
      <c r="G13" s="16" t="s">
        <v>36</v>
      </c>
      <c r="H13" s="16">
        <v>2</v>
      </c>
      <c r="I13" s="13"/>
    </row>
    <row r="14" spans="1:9">
      <c r="A14" s="13"/>
      <c r="B14" s="13"/>
    </row>
    <row r="15" spans="1:9">
      <c r="A15" s="13"/>
      <c r="B15" s="13"/>
    </row>
    <row r="16" spans="1:9">
      <c r="A16" s="13"/>
      <c r="B16" s="13"/>
    </row>
    <row r="17" spans="1:2">
      <c r="A17" s="13"/>
      <c r="B17" s="1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589C-60F9-4317-A96F-17A44C19E9AE}">
  <dimension ref="A1:D10"/>
  <sheetViews>
    <sheetView workbookViewId="0">
      <selection activeCell="F9" sqref="F9"/>
    </sheetView>
  </sheetViews>
  <sheetFormatPr defaultRowHeight="15"/>
  <cols>
    <col min="1" max="2" width="19" customWidth="1"/>
    <col min="3" max="3" width="17.7109375" customWidth="1"/>
    <col min="4" max="4" width="16.7109375" customWidth="1"/>
  </cols>
  <sheetData>
    <row r="1" spans="1:4" ht="36">
      <c r="A1" s="3" t="s">
        <v>12</v>
      </c>
      <c r="B1" s="14" t="s">
        <v>61</v>
      </c>
      <c r="C1" s="6" t="s">
        <v>13</v>
      </c>
      <c r="D1" s="5" t="s">
        <v>0</v>
      </c>
    </row>
    <row r="2" spans="1:4" ht="17.25">
      <c r="A2" s="35" t="s">
        <v>14</v>
      </c>
      <c r="B2" s="55">
        <f>ROW() - ROW(Tabla210[[#Headers],[ID_club]])</f>
        <v>1</v>
      </c>
      <c r="C2" s="32">
        <v>1902</v>
      </c>
      <c r="D2" s="22">
        <v>11</v>
      </c>
    </row>
    <row r="3" spans="1:4" ht="17.25">
      <c r="A3" s="35" t="s">
        <v>15</v>
      </c>
      <c r="B3" s="55">
        <f>ROW() - ROW(Tabla210[[#Headers],[ID_club]])</f>
        <v>2</v>
      </c>
      <c r="C3" s="32">
        <v>1899</v>
      </c>
      <c r="D3" s="22">
        <v>12</v>
      </c>
    </row>
    <row r="4" spans="1:4" ht="36">
      <c r="A4" s="35" t="s">
        <v>16</v>
      </c>
      <c r="B4" s="55">
        <f>ROW() - ROW(Tabla210[[#Headers],[ID_club]])</f>
        <v>3</v>
      </c>
      <c r="C4" s="32">
        <v>1903</v>
      </c>
      <c r="D4" s="22">
        <v>11</v>
      </c>
    </row>
    <row r="5" spans="1:4" ht="17.25">
      <c r="A5" s="35" t="s">
        <v>17</v>
      </c>
      <c r="B5" s="55">
        <f>ROW() - ROW(Tabla210[[#Headers],[ID_club]])</f>
        <v>4</v>
      </c>
      <c r="C5" s="32">
        <v>1898</v>
      </c>
      <c r="D5" s="22">
        <v>14</v>
      </c>
    </row>
    <row r="6" spans="1:4" ht="17.25">
      <c r="A6" s="35" t="s">
        <v>18</v>
      </c>
      <c r="B6" s="55">
        <f>ROW() - ROW(Tabla210[[#Headers],[ID_club]])</f>
        <v>5</v>
      </c>
      <c r="C6" s="32">
        <v>1919</v>
      </c>
      <c r="D6" s="22">
        <v>15</v>
      </c>
    </row>
    <row r="9" spans="1:4" ht="36">
      <c r="A9" s="12" t="s">
        <v>12</v>
      </c>
      <c r="B9" s="19" t="s">
        <v>61</v>
      </c>
      <c r="C9" s="20" t="s">
        <v>13</v>
      </c>
      <c r="D9" s="21" t="s">
        <v>0</v>
      </c>
    </row>
    <row r="10" spans="1:4" ht="36">
      <c r="A10" s="22" t="s">
        <v>19</v>
      </c>
      <c r="B10" s="55">
        <f>ROW() - ROW(Tabla210[[#Headers],[ID_club]])</f>
        <v>9</v>
      </c>
      <c r="C10" s="32">
        <v>1902</v>
      </c>
      <c r="D10" s="22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2026-09-22T11:52:40Z</dcterms:created>
  <dcterms:modified xsi:type="dcterms:W3CDTF">2026-09-24T08:27:04Z</dcterms:modified>
  <cp:category/>
  <cp:contentStatus/>
</cp:coreProperties>
</file>